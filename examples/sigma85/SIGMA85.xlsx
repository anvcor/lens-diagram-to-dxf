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面数据" sheetId="1" state="visible" r:id="rId1"/>
    <sheet xmlns:r="http://schemas.openxmlformats.org/officeDocument/2006/relationships" name="元件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12" customWidth="1" min="4" max="4"/>
    <col width="10" customWidth="1" min="5" max="5"/>
    <col width="12" customWidth="1" min="6" max="6"/>
    <col width="9" customWidth="1" min="7" max="7"/>
    <col width="9" customWidth="1" min="8" max="8"/>
    <col width="11" customWidth="1" min="9" max="9"/>
    <col width="46" customWidth="1" min="10" max="10"/>
  </cols>
  <sheetData>
    <row r="1">
      <c r="A1" s="1" t="inlineStr">
        <is>
          <t>SIGMA 85mm F1.2 (reverse-engineered from the published lens construction diagram)</t>
        </is>
      </c>
    </row>
    <row r="2">
      <c r="A2" t="inlineStr">
        <is>
          <t>比例 26.4825 px/mm；总长(首面顶点→末面顶点) 119.72 mm；玻璃为占位 BSC7，待定</t>
        </is>
      </c>
    </row>
    <row r="3">
      <c r="A3" s="2" t="inlineStr">
        <is>
          <t>面序号</t>
        </is>
      </c>
      <c r="B3" s="2" t="inlineStr">
        <is>
          <t>面型</t>
        </is>
      </c>
      <c r="C3" s="2" t="inlineStr">
        <is>
          <t>曲率半径</t>
        </is>
      </c>
      <c r="D3" s="2" t="inlineStr">
        <is>
          <t>THICKNESS</t>
        </is>
      </c>
      <c r="E3" s="2" t="inlineStr">
        <is>
          <t>玻璃</t>
        </is>
      </c>
      <c r="F3" s="2" t="inlineStr">
        <is>
          <t>标记</t>
        </is>
      </c>
      <c r="G3" s="2" t="inlineStr">
        <is>
          <t>半口径</t>
        </is>
      </c>
      <c r="H3" s="2" t="inlineStr">
        <is>
          <t>作图半径</t>
        </is>
      </c>
      <c r="I3" s="2" t="inlineStr">
        <is>
          <t>拟合RMS(px)</t>
        </is>
      </c>
      <c r="J3" s="2" t="inlineStr">
        <is>
          <t>备注</t>
        </is>
      </c>
    </row>
    <row r="4">
      <c r="A4" s="3" t="n">
        <v>1</v>
      </c>
      <c r="B4" s="3" t="inlineStr">
        <is>
          <t>球面</t>
        </is>
      </c>
      <c r="C4" s="3" t="n">
        <v>74.379</v>
      </c>
      <c r="D4" s="3" t="n">
        <v>4.143</v>
      </c>
      <c r="E4" s="3" t="inlineStr">
        <is>
          <t>BSC7</t>
        </is>
      </c>
      <c r="F4" s="3" t="n"/>
      <c r="G4" s="3" t="n">
        <v>35.25</v>
      </c>
      <c r="H4" s="3" t="n">
        <v>34.8</v>
      </c>
      <c r="I4" s="3" t="n">
        <v>0.29</v>
      </c>
      <c r="J4" s="3" t="inlineStr">
        <is>
          <t>图上这个面只画到 r=34.80 mm（再往外是机械磨边或与邻片相接），作图半径按此截断</t>
        </is>
      </c>
    </row>
    <row r="5">
      <c r="A5" s="3" t="n">
        <v>2</v>
      </c>
      <c r="B5" s="3" t="inlineStr">
        <is>
          <t>球面</t>
        </is>
      </c>
      <c r="C5" s="3" t="n">
        <v>106.348</v>
      </c>
      <c r="D5" s="3" t="n">
        <v>0.08699999999999999</v>
      </c>
      <c r="E5" s="3" t="n"/>
      <c r="F5" s="3" t="n"/>
      <c r="G5" s="3" t="n">
        <v>35.25</v>
      </c>
      <c r="H5" s="3" t="n">
        <v>34.49</v>
      </c>
      <c r="I5" s="3" t="n">
        <v>0.29</v>
      </c>
      <c r="J5" s="3" t="inlineStr">
        <is>
          <t>★两面在轴上几乎相接（图上两条描边在轴附近并成一条），间隔已在图纸分辨力以下；真实设计应有 0.05~0.2 mm 气隙，进软件前请自行给一个最小值；图上这个面只画到 r=34.49 mm（再往外是机械磨边或与邻片相接），作图半径按此截断</t>
        </is>
      </c>
    </row>
    <row r="6">
      <c r="A6" s="3" t="n">
        <v>3</v>
      </c>
      <c r="B6" s="3" t="inlineStr">
        <is>
          <t>球面</t>
        </is>
      </c>
      <c r="C6" s="3" t="n">
        <v>46.282</v>
      </c>
      <c r="D6" s="3" t="n">
        <v>10.852</v>
      </c>
      <c r="E6" s="3" t="inlineStr">
        <is>
          <t>BSC7</t>
        </is>
      </c>
      <c r="F6" s="3" t="inlineStr">
        <is>
          <t>蓝色填充</t>
        </is>
      </c>
      <c r="G6" s="3" t="n">
        <v>32.51</v>
      </c>
      <c r="H6" s="3" t="n">
        <v>32.04</v>
      </c>
      <c r="I6" s="3" t="n">
        <v>0.29</v>
      </c>
      <c r="J6" s="3" t="inlineStr">
        <is>
          <t>图上这个面只画到 r=32.04 mm（再往外是机械磨边或与邻片相接），作图半径按此截断</t>
        </is>
      </c>
    </row>
    <row r="7">
      <c r="A7" s="3" t="n">
        <v>4</v>
      </c>
      <c r="B7" s="3" t="inlineStr">
        <is>
          <t>球面</t>
        </is>
      </c>
      <c r="C7" s="3" t="n">
        <v>124.703</v>
      </c>
      <c r="D7" s="3" t="n">
        <v>7.657</v>
      </c>
      <c r="E7" s="3" t="n"/>
      <c r="F7" s="3" t="n"/>
      <c r="G7" s="3" t="n">
        <v>32.51</v>
      </c>
      <c r="H7" s="3" t="n">
        <v>31.89</v>
      </c>
      <c r="I7" s="3" t="n">
        <v>0.29</v>
      </c>
      <c r="J7" s="3" t="inlineStr">
        <is>
          <t>图上这个面只画到 r=31.89 mm（再往外是机械磨边或与邻片相接），作图半径按此截断</t>
        </is>
      </c>
    </row>
    <row r="8">
      <c r="A8" s="3" t="n">
        <v>5</v>
      </c>
      <c r="B8" s="3" t="inlineStr">
        <is>
          <t>球面</t>
        </is>
      </c>
      <c r="C8" s="3" t="n">
        <v>123.528</v>
      </c>
      <c r="D8" s="3" t="n">
        <v>1.543</v>
      </c>
      <c r="E8" s="3" t="inlineStr">
        <is>
          <t>BSC7</t>
        </is>
      </c>
      <c r="F8" s="3" t="n"/>
      <c r="G8" s="3" t="n">
        <v>28.51</v>
      </c>
      <c r="H8" s="3" t="n">
        <v>27.89</v>
      </c>
      <c r="I8" s="3" t="n">
        <v>0.3</v>
      </c>
      <c r="J8" s="3" t="inlineStr">
        <is>
          <t>图上这个面只画到 r=27.89 mm（再往外是机械磨边或与邻片相接），作图半径按此截断</t>
        </is>
      </c>
    </row>
    <row r="9">
      <c r="A9" s="3" t="n">
        <v>6</v>
      </c>
      <c r="B9" s="3" t="inlineStr">
        <is>
          <t>球面</t>
        </is>
      </c>
      <c r="C9" s="3" t="n">
        <v>43.028</v>
      </c>
      <c r="D9" s="3" t="n">
        <v>13.466</v>
      </c>
      <c r="E9" s="3" t="n"/>
      <c r="F9" s="3" t="n"/>
      <c r="G9" s="3" t="n">
        <v>28.51</v>
      </c>
      <c r="H9" s="3" t="n">
        <v>25.45</v>
      </c>
      <c r="I9" s="3" t="n">
        <v>0.29</v>
      </c>
      <c r="J9" s="3" t="inlineStr">
        <is>
          <t>图上这个面只画到 r=25.45 mm（再往外是机械磨边或与邻片相接），作图半径按此截断</t>
        </is>
      </c>
    </row>
    <row r="10">
      <c r="A10" s="3" t="n">
        <v>7</v>
      </c>
      <c r="B10" s="3" t="inlineStr">
        <is>
          <t>非球面</t>
        </is>
      </c>
      <c r="C10" s="3" t="n">
        <v>64.572</v>
      </c>
      <c r="D10" s="3" t="n">
        <v>5.13</v>
      </c>
      <c r="E10" s="3" t="inlineStr">
        <is>
          <t>BSC7</t>
        </is>
      </c>
      <c r="F10" s="3" t="inlineStr">
        <is>
          <t>红色描边</t>
        </is>
      </c>
      <c r="G10" s="3" t="n">
        <v>24.45</v>
      </c>
      <c r="H10" s="3" t="n">
        <v>22.03</v>
      </c>
      <c r="I10" s="3" t="n">
        <v>1.27</v>
      </c>
      <c r="J10" s="3" t="inlineStr">
        <is>
          <t>拟合残差大，可能非球面/需人工核对；图上这个面只画到 r=22.03 mm（再往外是机械磨边或与邻片相接），作图半径按此截断</t>
        </is>
      </c>
    </row>
    <row r="11">
      <c r="A11" s="3" t="n">
        <v>8</v>
      </c>
      <c r="B11" s="3" t="inlineStr">
        <is>
          <t>球面</t>
        </is>
      </c>
      <c r="C11" s="3" t="n">
        <v>196.043</v>
      </c>
      <c r="D11" s="3" t="n">
        <v>3.301</v>
      </c>
      <c r="E11" s="3" t="n"/>
      <c r="F11" s="3" t="inlineStr">
        <is>
          <t>红色描边</t>
        </is>
      </c>
      <c r="G11" s="3" t="n">
        <v>24.45</v>
      </c>
      <c r="H11" s="3" t="n">
        <v>24.03</v>
      </c>
      <c r="I11" s="3" t="n">
        <v>0.28</v>
      </c>
      <c r="J11" s="3" t="inlineStr">
        <is>
          <t>图上这个面只画到 r=24.03 mm（再往外是机械磨边或与邻片相接），作图半径按此截断</t>
        </is>
      </c>
    </row>
    <row r="12">
      <c r="A12" s="3" t="n">
        <v>9</v>
      </c>
      <c r="B12" s="3" t="inlineStr">
        <is>
          <t>球面</t>
        </is>
      </c>
      <c r="C12" s="3" t="n">
        <v>176.245</v>
      </c>
      <c r="D12" s="3" t="n">
        <v>5.473</v>
      </c>
      <c r="E12" s="3" t="inlineStr">
        <is>
          <t>BSC7</t>
        </is>
      </c>
      <c r="F12" s="3" t="n"/>
      <c r="G12" s="3" t="n">
        <v>24.09</v>
      </c>
      <c r="H12" s="3" t="n">
        <v>23.66</v>
      </c>
      <c r="I12" s="3" t="n">
        <v>0.3</v>
      </c>
      <c r="J12" s="3" t="inlineStr">
        <is>
          <t>图上这个面只画到 r=23.66 mm（再往外是机械磨边或与邻片相接），作图半径按此截断</t>
        </is>
      </c>
    </row>
    <row r="13">
      <c r="A13" s="3" t="n">
        <v>10</v>
      </c>
      <c r="B13" s="3" t="inlineStr">
        <is>
          <t>球面</t>
        </is>
      </c>
      <c r="C13" s="3" t="n">
        <v>-118.127</v>
      </c>
      <c r="D13" s="3" t="n">
        <v>1.011</v>
      </c>
      <c r="E13" s="3" t="inlineStr">
        <is>
          <t>BSC7</t>
        </is>
      </c>
      <c r="F13" s="3" t="n"/>
      <c r="G13" s="3" t="n">
        <v>25</v>
      </c>
      <c r="H13" s="3" t="n">
        <v>24.11</v>
      </c>
      <c r="I13" s="3" t="n">
        <v>0.31</v>
      </c>
      <c r="J13" s="3" t="inlineStr">
        <is>
          <t>胶合面；图上这个面只画到 r=24.11 mm（再往外是机械磨边或与邻片相接），作图半径按此截断</t>
        </is>
      </c>
    </row>
    <row r="14">
      <c r="A14" s="3" t="n">
        <v>11</v>
      </c>
      <c r="B14" s="3" t="inlineStr">
        <is>
          <t>球面</t>
        </is>
      </c>
      <c r="C14" s="3" t="n">
        <v>43.793</v>
      </c>
      <c r="D14" s="3" t="n">
        <v>7.122</v>
      </c>
      <c r="E14" s="3" t="n"/>
      <c r="F14" s="3" t="n"/>
      <c r="G14" s="3" t="n">
        <v>25</v>
      </c>
      <c r="H14" s="3" t="n">
        <v>19.92</v>
      </c>
      <c r="I14" s="3" t="n">
        <v>0.28</v>
      </c>
      <c r="J14" s="3" t="inlineStr">
        <is>
          <t>图上这个面只画到 r=19.92 mm（再往外是机械磨边或与邻片相接），作图半径按此截断</t>
        </is>
      </c>
    </row>
    <row r="15">
      <c r="A15" s="3" t="inlineStr">
        <is>
          <t>STO</t>
        </is>
      </c>
      <c r="B15" s="3" t="inlineStr">
        <is>
          <t>球面</t>
        </is>
      </c>
      <c r="C15" s="3" t="inlineStr">
        <is>
          <t>Infinity</t>
        </is>
      </c>
      <c r="D15" s="3" t="n">
        <v>2.42</v>
      </c>
      <c r="E15" s="3" t="n"/>
      <c r="F15" s="3" t="n"/>
      <c r="G15" s="3" t="n">
        <v>19.24</v>
      </c>
      <c r="H15" s="3" t="n">
        <v>19.24</v>
      </c>
      <c r="I15" s="3" t="n"/>
      <c r="J15" s="3" t="n"/>
    </row>
    <row r="16">
      <c r="A16" s="3" t="n">
        <v>12</v>
      </c>
      <c r="B16" s="3" t="inlineStr">
        <is>
          <t>球面</t>
        </is>
      </c>
      <c r="C16" s="3" t="n">
        <v>-213.178</v>
      </c>
      <c r="D16" s="3" t="n">
        <v>1.024</v>
      </c>
      <c r="E16" s="3" t="inlineStr">
        <is>
          <t>BSC7</t>
        </is>
      </c>
      <c r="F16" s="3" t="n"/>
      <c r="G16" s="3" t="n">
        <v>21.37</v>
      </c>
      <c r="H16" s="3" t="n">
        <v>20.64</v>
      </c>
      <c r="I16" s="3" t="n">
        <v>0.34</v>
      </c>
      <c r="J16" s="3" t="inlineStr">
        <is>
          <t>图上这个面只画到 r=20.64 mm（再往外是机械磨边或与邻片相接），作图半径按此截断</t>
        </is>
      </c>
    </row>
    <row r="17">
      <c r="A17" s="3" t="n">
        <v>13</v>
      </c>
      <c r="B17" s="3" t="inlineStr">
        <is>
          <t>球面</t>
        </is>
      </c>
      <c r="C17" s="3" t="n">
        <v>32.693</v>
      </c>
      <c r="D17" s="3" t="n">
        <v>6.787</v>
      </c>
      <c r="E17" s="3" t="inlineStr">
        <is>
          <t>BSC7</t>
        </is>
      </c>
      <c r="F17" s="3" t="inlineStr">
        <is>
          <t>蓝色填充</t>
        </is>
      </c>
      <c r="G17" s="3" t="n">
        <v>21.03</v>
      </c>
      <c r="H17" s="3" t="n">
        <v>20.79</v>
      </c>
      <c r="I17" s="3" t="n">
        <v>0.29</v>
      </c>
      <c r="J17" s="3" t="inlineStr">
        <is>
          <t>胶合面；图上这个面只画到 r=20.79 mm（再往外是机械磨边或与邻片相接），作图半径按此截断</t>
        </is>
      </c>
    </row>
    <row r="18">
      <c r="A18" s="3" t="n">
        <v>14</v>
      </c>
      <c r="B18" s="3" t="inlineStr">
        <is>
          <t>球面</t>
        </is>
      </c>
      <c r="C18" s="3" t="n">
        <v>94.194</v>
      </c>
      <c r="D18" s="3" t="n">
        <v>0.092</v>
      </c>
      <c r="E18" s="3" t="n"/>
      <c r="F18" s="3" t="n"/>
      <c r="G18" s="3" t="n">
        <v>21.03</v>
      </c>
      <c r="H18" s="3" t="n">
        <v>20.33</v>
      </c>
      <c r="I18" s="3" t="n">
        <v>0.31</v>
      </c>
      <c r="J18" s="3" t="inlineStr">
        <is>
          <t>★两面在轴上几乎相接（图上两条描边在轴附近并成一条），间隔已在图纸分辨力以下；真实设计应有 0.05~0.2 mm 气隙，进软件前请自行给一个最小值；图上这个面只画到 r=20.33 mm（再往外是机械磨边或与邻片相接），作图半径按此截断</t>
        </is>
      </c>
    </row>
    <row r="19">
      <c r="A19" s="3" t="n">
        <v>15</v>
      </c>
      <c r="B19" s="3" t="inlineStr">
        <is>
          <t>球面</t>
        </is>
      </c>
      <c r="C19" s="3" t="n">
        <v>67.95999999999999</v>
      </c>
      <c r="D19" s="3" t="n">
        <v>7.434</v>
      </c>
      <c r="E19" s="3" t="inlineStr">
        <is>
          <t>BSC7</t>
        </is>
      </c>
      <c r="F19" s="3" t="n"/>
      <c r="G19" s="3" t="n">
        <v>20.88</v>
      </c>
      <c r="H19" s="3" t="n">
        <v>20.33</v>
      </c>
      <c r="I19" s="3" t="n">
        <v>0.28</v>
      </c>
      <c r="J19" s="3" t="inlineStr">
        <is>
          <t>图上这个面只画到 r=20.33 mm（再往外是机械磨边或与邻片相接），作图半径按此截断</t>
        </is>
      </c>
    </row>
    <row r="20">
      <c r="A20" s="3" t="n">
        <v>16</v>
      </c>
      <c r="B20" s="3" t="inlineStr">
        <is>
          <t>球面</t>
        </is>
      </c>
      <c r="C20" s="3" t="n">
        <v>-88.298</v>
      </c>
      <c r="D20" s="3" t="n">
        <v>1.013</v>
      </c>
      <c r="E20" s="3" t="inlineStr">
        <is>
          <t>BSC7</t>
        </is>
      </c>
      <c r="F20" s="3" t="n"/>
      <c r="G20" s="3" t="n">
        <v>21.37</v>
      </c>
      <c r="H20" s="3" t="n">
        <v>20.75</v>
      </c>
      <c r="I20" s="3" t="n">
        <v>0.28</v>
      </c>
      <c r="J20" s="3" t="inlineStr">
        <is>
          <t>胶合面；图上这个面只画到 r=20.75 mm（再往外是机械磨边或与邻片相接），作图半径按此截断</t>
        </is>
      </c>
    </row>
    <row r="21">
      <c r="A21" s="3" t="n">
        <v>17</v>
      </c>
      <c r="B21" s="3" t="inlineStr">
        <is>
          <t>球面</t>
        </is>
      </c>
      <c r="C21" s="3" t="n">
        <v>125.423</v>
      </c>
      <c r="D21" s="3" t="n">
        <v>0.339</v>
      </c>
      <c r="E21" s="3" t="n"/>
      <c r="F21" s="3" t="n"/>
      <c r="G21" s="3" t="n">
        <v>21.37</v>
      </c>
      <c r="H21" s="3" t="n">
        <v>20.97</v>
      </c>
      <c r="I21" s="3" t="n">
        <v>0.3</v>
      </c>
      <c r="J21" s="3" t="inlineStr">
        <is>
          <t>图上这个面只画到 r=20.97 mm（再往外是机械磨边或与邻片相接），作图半径按此截断</t>
        </is>
      </c>
    </row>
    <row r="22">
      <c r="A22" s="3" t="n">
        <v>18</v>
      </c>
      <c r="B22" s="3" t="inlineStr">
        <is>
          <t>球面</t>
        </is>
      </c>
      <c r="C22" s="3" t="n">
        <v>67.55500000000001</v>
      </c>
      <c r="D22" s="3" t="n">
        <v>7.277</v>
      </c>
      <c r="E22" s="3" t="inlineStr">
        <is>
          <t>BSC7</t>
        </is>
      </c>
      <c r="F22" s="3" t="n"/>
      <c r="G22" s="3" t="n">
        <v>20.73</v>
      </c>
      <c r="H22" s="3" t="n">
        <v>20.33</v>
      </c>
      <c r="I22" s="3" t="n">
        <v>0.3</v>
      </c>
      <c r="J22" s="3" t="inlineStr">
        <is>
          <t>图上这个面只画到 r=20.33 mm（再往外是机械磨边或与邻片相接），作图半径按此截断</t>
        </is>
      </c>
    </row>
    <row r="23">
      <c r="A23" s="3" t="n">
        <v>19</v>
      </c>
      <c r="B23" s="3" t="inlineStr">
        <is>
          <t>球面</t>
        </is>
      </c>
      <c r="C23" s="3" t="n">
        <v>-87.581</v>
      </c>
      <c r="D23" s="3" t="n">
        <v>1.012</v>
      </c>
      <c r="E23" s="3" t="inlineStr">
        <is>
          <t>BSC7</t>
        </is>
      </c>
      <c r="F23" s="3" t="n"/>
      <c r="G23" s="3" t="n">
        <v>21.07</v>
      </c>
      <c r="H23" s="3" t="n">
        <v>20.45</v>
      </c>
      <c r="I23" s="3" t="n">
        <v>0.3</v>
      </c>
      <c r="J23" s="3" t="inlineStr">
        <is>
          <t>胶合面；图上这个面只画到 r=20.45 mm（再往外是机械磨边或与邻片相接），作图半径按此截断</t>
        </is>
      </c>
    </row>
    <row r="24">
      <c r="A24" s="3" t="n">
        <v>20</v>
      </c>
      <c r="B24" s="3" t="inlineStr">
        <is>
          <t>球面</t>
        </is>
      </c>
      <c r="C24" s="3" t="n">
        <v>-229.589</v>
      </c>
      <c r="D24" s="3" t="n">
        <v>8.141999999999999</v>
      </c>
      <c r="E24" s="3" t="n"/>
      <c r="F24" s="3" t="n"/>
      <c r="G24" s="3" t="n">
        <v>21.07</v>
      </c>
      <c r="H24" s="3" t="n">
        <v>20.37</v>
      </c>
      <c r="I24" s="3" t="n">
        <v>0.29</v>
      </c>
      <c r="J24" s="3" t="inlineStr">
        <is>
          <t>图上这个面只画到 r=20.37 mm（再往外是机械磨边或与邻片相接），作图半径按此截断</t>
        </is>
      </c>
    </row>
    <row r="25">
      <c r="A25" s="3" t="n">
        <v>21</v>
      </c>
      <c r="B25" s="3" t="inlineStr">
        <is>
          <t>球面</t>
        </is>
      </c>
      <c r="C25" s="3" t="n">
        <v>183.922</v>
      </c>
      <c r="D25" s="3" t="n">
        <v>0.949</v>
      </c>
      <c r="E25" s="3" t="inlineStr">
        <is>
          <t>BSC7</t>
        </is>
      </c>
      <c r="F25" s="3" t="n"/>
      <c r="G25" s="3" t="n">
        <v>19.37</v>
      </c>
      <c r="H25" s="3" t="n">
        <v>18.82</v>
      </c>
      <c r="I25" s="3" t="n">
        <v>0.3</v>
      </c>
      <c r="J25" s="3" t="inlineStr">
        <is>
          <t>图上这个面只画到 r=18.82 mm（再往外是机械磨边或与邻片相接），作图半径按此截断</t>
        </is>
      </c>
    </row>
    <row r="26">
      <c r="A26" s="3" t="n">
        <v>22</v>
      </c>
      <c r="B26" s="3" t="inlineStr">
        <is>
          <t>球面</t>
        </is>
      </c>
      <c r="C26" s="3" t="n">
        <v>55.07</v>
      </c>
      <c r="D26" s="3" t="n">
        <v>0.758</v>
      </c>
      <c r="E26" s="3" t="n"/>
      <c r="F26" s="3" t="n"/>
      <c r="G26" s="3" t="n">
        <v>19.37</v>
      </c>
      <c r="H26" s="3" t="n">
        <v>18.49</v>
      </c>
      <c r="I26" s="3" t="n">
        <v>0.29</v>
      </c>
      <c r="J26" s="3" t="inlineStr">
        <is>
          <t>图上这个面只画到 r=18.49 mm（再往外是机械磨边或与邻片相接），作图半径按此截断</t>
        </is>
      </c>
    </row>
    <row r="27">
      <c r="A27" s="3" t="n">
        <v>23</v>
      </c>
      <c r="B27" s="3" t="inlineStr">
        <is>
          <t>球面</t>
        </is>
      </c>
      <c r="C27" s="3" t="n">
        <v>51.23</v>
      </c>
      <c r="D27" s="3" t="n">
        <v>7.287</v>
      </c>
      <c r="E27" s="3" t="inlineStr">
        <is>
          <t>BSC7</t>
        </is>
      </c>
      <c r="F27" s="3" t="inlineStr">
        <is>
          <t>红色描边</t>
        </is>
      </c>
      <c r="G27" s="3" t="n">
        <v>18.69</v>
      </c>
      <c r="H27" s="3" t="n">
        <v>18.41</v>
      </c>
      <c r="I27" s="3" t="n">
        <v>0.58</v>
      </c>
      <c r="J27" s="3" t="inlineStr">
        <is>
          <t>图上这个面只画到 r=18.41 mm（再往外是机械磨边或与邻片相接），作图半径按此截断</t>
        </is>
      </c>
    </row>
    <row r="28">
      <c r="A28" s="3" t="n">
        <v>24</v>
      </c>
      <c r="B28" s="3" t="inlineStr">
        <is>
          <t>球面</t>
        </is>
      </c>
      <c r="C28" s="3" t="n">
        <v>-87.809</v>
      </c>
      <c r="D28" s="3" t="n">
        <v>2.546</v>
      </c>
      <c r="E28" s="3" t="n"/>
      <c r="F28" s="3" t="inlineStr">
        <is>
          <t>红色描边</t>
        </is>
      </c>
      <c r="G28" s="3" t="n">
        <v>18.69</v>
      </c>
      <c r="H28" s="3" t="n">
        <v>18.23</v>
      </c>
      <c r="I28" s="3" t="n">
        <v>0.32</v>
      </c>
      <c r="J28" s="3" t="inlineStr">
        <is>
          <t>图上这个面只画到 r=18.23 mm（再往外是机械磨边或与邻片相接），作图半径按此截断</t>
        </is>
      </c>
    </row>
    <row r="29">
      <c r="A29" s="3" t="n">
        <v>25</v>
      </c>
      <c r="B29" s="3" t="inlineStr">
        <is>
          <t>球面</t>
        </is>
      </c>
      <c r="C29" s="3" t="n">
        <v>132.863</v>
      </c>
      <c r="D29" s="3" t="n">
        <v>5.879</v>
      </c>
      <c r="E29" s="3" t="inlineStr">
        <is>
          <t>BSC7</t>
        </is>
      </c>
      <c r="F29" s="3" t="n"/>
      <c r="G29" s="3" t="n">
        <v>17.11</v>
      </c>
      <c r="H29" s="3" t="n">
        <v>16.37</v>
      </c>
      <c r="I29" s="3" t="n">
        <v>0.31</v>
      </c>
      <c r="J29" s="3" t="inlineStr">
        <is>
          <t>图上这个面只画到 r=16.37 mm（再往外是机械磨边或与邻片相接），作图半径按此截断</t>
        </is>
      </c>
    </row>
    <row r="30">
      <c r="A30" s="3" t="n">
        <v>26</v>
      </c>
      <c r="B30" s="3" t="inlineStr">
        <is>
          <t>球面</t>
        </is>
      </c>
      <c r="C30" s="3" t="n">
        <v>-64.8</v>
      </c>
      <c r="D30" s="3" t="n">
        <v>1.012</v>
      </c>
      <c r="E30" s="3" t="inlineStr">
        <is>
          <t>BSC7</t>
        </is>
      </c>
      <c r="F30" s="3" t="n"/>
      <c r="G30" s="3" t="n">
        <v>16.99</v>
      </c>
      <c r="H30" s="3" t="n">
        <v>16.71</v>
      </c>
      <c r="I30" s="3" t="n">
        <v>0.3</v>
      </c>
      <c r="J30" s="3" t="inlineStr">
        <is>
          <t>胶合面；图上这个面只画到 r=16.71 mm（再往外是机械磨边或与邻片相接），作图半径按此截断</t>
        </is>
      </c>
    </row>
    <row r="31">
      <c r="A31" s="3" t="n">
        <v>27</v>
      </c>
      <c r="B31" s="3" t="inlineStr">
        <is>
          <t>球面</t>
        </is>
      </c>
      <c r="C31" s="3" t="n">
        <v>35.589</v>
      </c>
      <c r="D31" s="3" t="n">
        <v>4.982</v>
      </c>
      <c r="E31" s="3" t="n"/>
      <c r="F31" s="3" t="n"/>
      <c r="G31" s="3" t="n">
        <v>16.99</v>
      </c>
      <c r="H31" s="3" t="n">
        <v>16.14</v>
      </c>
      <c r="I31" s="3" t="n">
        <v>0.29</v>
      </c>
      <c r="J31" s="3" t="inlineStr">
        <is>
          <t>图上这个面只画到 r=16.14 mm（再往外是机械磨边或与邻片相接），作图半径按此截断</t>
        </is>
      </c>
    </row>
    <row r="32">
      <c r="A32" s="3" t="n">
        <v>28</v>
      </c>
      <c r="B32" s="3" t="inlineStr">
        <is>
          <t>球面</t>
        </is>
      </c>
      <c r="C32" s="3" t="n">
        <v>-125.517</v>
      </c>
      <c r="D32" s="3" t="n">
        <v>0.983</v>
      </c>
      <c r="E32" s="3" t="inlineStr">
        <is>
          <t>BSC7</t>
        </is>
      </c>
      <c r="F32" s="3" t="inlineStr">
        <is>
          <t>红色描边</t>
        </is>
      </c>
      <c r="G32" s="3" t="n">
        <v>17.05</v>
      </c>
      <c r="H32" s="3" t="n">
        <v>15.58</v>
      </c>
      <c r="I32" s="3" t="n">
        <v>0.43</v>
      </c>
      <c r="J32" s="3" t="inlineStr">
        <is>
          <t>图上这个面只画到 r=15.58 mm（再往外是机械磨边或与邻片相接），作图半径按此截断</t>
        </is>
      </c>
    </row>
    <row r="33">
      <c r="A33" s="3" t="n">
        <v>29</v>
      </c>
      <c r="B33" s="3" t="inlineStr">
        <is>
          <t>球面</t>
        </is>
      </c>
      <c r="C33" s="3" t="n">
        <v>239.715</v>
      </c>
      <c r="D33" s="3" t="n">
        <v>0</v>
      </c>
      <c r="E33" s="3" t="n"/>
      <c r="F33" s="3" t="inlineStr">
        <is>
          <t>红色描边</t>
        </is>
      </c>
      <c r="G33" s="3" t="n">
        <v>17.05</v>
      </c>
      <c r="H33" s="3" t="n">
        <v>14.57</v>
      </c>
      <c r="I33" s="3" t="n">
        <v>0.48</v>
      </c>
      <c r="J33" s="3" t="inlineStr">
        <is>
          <t>图上这个面只画到 r=14.57 mm（再往外是机械磨边或与邻片相接），作图半径按此截断</t>
        </is>
      </c>
    </row>
    <row r="34">
      <c r="A34" s="3" t="inlineStr">
        <is>
          <t>IMA</t>
        </is>
      </c>
      <c r="B34" s="3" t="inlineStr">
        <is>
          <t>球面</t>
        </is>
      </c>
      <c r="C34" s="3" t="n"/>
      <c r="D34" s="3">
        <f>SUM(D4:D33)</f>
        <v/>
      </c>
      <c r="E34" s="3" t="n"/>
      <c r="F34" s="3" t="n"/>
      <c r="G34" s="3" t="n"/>
      <c r="H34" s="3" t="n"/>
      <c r="I34" s="3" t="n"/>
      <c r="J34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元件</t>
        </is>
      </c>
      <c r="B1" t="inlineStr">
        <is>
          <t>前顶点 x(mm)</t>
        </is>
      </c>
      <c r="C1" t="inlineStr">
        <is>
          <t>后顶点 x(mm)</t>
        </is>
      </c>
      <c r="D1" t="inlineStr">
        <is>
          <t>中心厚 (mm)</t>
        </is>
      </c>
      <c r="E1" t="inlineStr">
        <is>
          <t>半口径 (mm)</t>
        </is>
      </c>
      <c r="F1" t="inlineStr">
        <is>
          <t>颜色类</t>
        </is>
      </c>
      <c r="G1" t="inlineStr">
        <is>
          <t>标记</t>
        </is>
      </c>
    </row>
    <row r="2">
      <c r="A2" t="n">
        <v>1</v>
      </c>
      <c r="B2" t="n">
        <v>0</v>
      </c>
      <c r="C2" t="n">
        <v>4.143</v>
      </c>
      <c r="D2" t="n">
        <v>4.143</v>
      </c>
      <c r="E2" t="n">
        <v>35.25</v>
      </c>
      <c r="F2" t="n">
        <v>0</v>
      </c>
    </row>
    <row r="3">
      <c r="A3" t="n">
        <v>2</v>
      </c>
      <c r="B3" t="n">
        <v>4.229</v>
      </c>
      <c r="C3" t="n">
        <v>15.081</v>
      </c>
      <c r="D3" t="n">
        <v>10.852</v>
      </c>
      <c r="E3" t="n">
        <v>32.51</v>
      </c>
      <c r="F3" t="n">
        <v>1</v>
      </c>
      <c r="G3" t="inlineStr">
        <is>
          <t>蓝色填充</t>
        </is>
      </c>
    </row>
    <row r="4">
      <c r="A4" t="n">
        <v>3</v>
      </c>
      <c r="B4" t="n">
        <v>22.738</v>
      </c>
      <c r="C4" t="n">
        <v>24.28</v>
      </c>
      <c r="D4" t="n">
        <v>1.543</v>
      </c>
      <c r="E4" t="n">
        <v>28.51</v>
      </c>
      <c r="F4" t="n">
        <v>0</v>
      </c>
    </row>
    <row r="5">
      <c r="A5" t="n">
        <v>4</v>
      </c>
      <c r="B5" t="n">
        <v>37.746</v>
      </c>
      <c r="C5" t="n">
        <v>42.876</v>
      </c>
      <c r="D5" t="n">
        <v>5.13</v>
      </c>
      <c r="E5" t="n">
        <v>24.45</v>
      </c>
      <c r="F5" t="n">
        <v>0</v>
      </c>
    </row>
    <row r="6">
      <c r="A6" t="n">
        <v>5</v>
      </c>
      <c r="B6" t="n">
        <v>46.177</v>
      </c>
      <c r="C6" t="n">
        <v>51.632</v>
      </c>
      <c r="D6" t="n">
        <v>5.455</v>
      </c>
      <c r="E6" t="n">
        <v>24.09</v>
      </c>
      <c r="F6" t="n">
        <v>0</v>
      </c>
    </row>
    <row r="7">
      <c r="A7" t="n">
        <v>6</v>
      </c>
      <c r="B7" t="n">
        <v>51.67</v>
      </c>
      <c r="C7" t="n">
        <v>52.662</v>
      </c>
      <c r="D7" t="n">
        <v>0.992</v>
      </c>
      <c r="E7" t="n">
        <v>25</v>
      </c>
      <c r="F7" t="n">
        <v>0</v>
      </c>
    </row>
    <row r="8">
      <c r="A8" t="n">
        <v>7</v>
      </c>
      <c r="B8" t="n">
        <v>62.204</v>
      </c>
      <c r="C8" t="n">
        <v>63.209</v>
      </c>
      <c r="D8" t="n">
        <v>1.006</v>
      </c>
      <c r="E8" t="n">
        <v>21.37</v>
      </c>
      <c r="F8" t="n">
        <v>0</v>
      </c>
    </row>
    <row r="9">
      <c r="A9" t="n">
        <v>8</v>
      </c>
      <c r="B9" t="n">
        <v>63.247</v>
      </c>
      <c r="C9" t="n">
        <v>70.015</v>
      </c>
      <c r="D9" t="n">
        <v>6.768</v>
      </c>
      <c r="E9" t="n">
        <v>21.03</v>
      </c>
      <c r="F9" t="n">
        <v>1</v>
      </c>
      <c r="G9" t="inlineStr">
        <is>
          <t>蓝色填充</t>
        </is>
      </c>
    </row>
    <row r="10">
      <c r="A10" t="n">
        <v>9</v>
      </c>
      <c r="B10" t="n">
        <v>70.10599999999999</v>
      </c>
      <c r="C10" t="n">
        <v>77.52200000000001</v>
      </c>
      <c r="D10" t="n">
        <v>7.416</v>
      </c>
      <c r="E10" t="n">
        <v>20.88</v>
      </c>
      <c r="F10" t="n">
        <v>0</v>
      </c>
    </row>
    <row r="11">
      <c r="A11" t="n">
        <v>10</v>
      </c>
      <c r="B11" t="n">
        <v>77.56</v>
      </c>
      <c r="C11" t="n">
        <v>78.554</v>
      </c>
      <c r="D11" t="n">
        <v>0.995</v>
      </c>
      <c r="E11" t="n">
        <v>21.37</v>
      </c>
      <c r="F11" t="n">
        <v>0</v>
      </c>
    </row>
    <row r="12">
      <c r="A12" t="n">
        <v>11</v>
      </c>
      <c r="B12" t="n">
        <v>78.893</v>
      </c>
      <c r="C12" t="n">
        <v>86.151</v>
      </c>
      <c r="D12" t="n">
        <v>7.258</v>
      </c>
      <c r="E12" t="n">
        <v>20.73</v>
      </c>
      <c r="F12" t="n">
        <v>0</v>
      </c>
    </row>
    <row r="13">
      <c r="A13" t="n">
        <v>12</v>
      </c>
      <c r="B13" t="n">
        <v>86.188</v>
      </c>
      <c r="C13" t="n">
        <v>87.181</v>
      </c>
      <c r="D13" t="n">
        <v>0.993</v>
      </c>
      <c r="E13" t="n">
        <v>21.07</v>
      </c>
      <c r="F13" t="n">
        <v>0</v>
      </c>
    </row>
    <row r="14">
      <c r="A14" t="n">
        <v>13</v>
      </c>
      <c r="B14" t="n">
        <v>95.32299999999999</v>
      </c>
      <c r="C14" t="n">
        <v>96.27200000000001</v>
      </c>
      <c r="D14" t="n">
        <v>0.949</v>
      </c>
      <c r="E14" t="n">
        <v>19.37</v>
      </c>
      <c r="F14" t="n">
        <v>0</v>
      </c>
    </row>
    <row r="15">
      <c r="A15" t="n">
        <v>14</v>
      </c>
      <c r="B15" t="n">
        <v>97.03</v>
      </c>
      <c r="C15" t="n">
        <v>104.317</v>
      </c>
      <c r="D15" t="n">
        <v>7.287</v>
      </c>
      <c r="E15" t="n">
        <v>18.69</v>
      </c>
      <c r="F15" t="n">
        <v>0</v>
      </c>
    </row>
    <row r="16">
      <c r="A16" t="n">
        <v>15</v>
      </c>
      <c r="B16" t="n">
        <v>106.863</v>
      </c>
      <c r="C16" t="n">
        <v>112.724</v>
      </c>
      <c r="D16" t="n">
        <v>5.861</v>
      </c>
      <c r="E16" t="n">
        <v>17.11</v>
      </c>
      <c r="F16" t="n">
        <v>0</v>
      </c>
    </row>
    <row r="17">
      <c r="A17" t="n">
        <v>16</v>
      </c>
      <c r="B17" t="n">
        <v>112.761</v>
      </c>
      <c r="C17" t="n">
        <v>113.755</v>
      </c>
      <c r="D17" t="n">
        <v>0.994</v>
      </c>
      <c r="E17" t="n">
        <v>16.99</v>
      </c>
      <c r="F17" t="n">
        <v>0</v>
      </c>
    </row>
    <row r="18">
      <c r="A18" t="n">
        <v>17</v>
      </c>
      <c r="B18" t="n">
        <v>118.737</v>
      </c>
      <c r="C18" t="n">
        <v>119.72</v>
      </c>
      <c r="D18" t="n">
        <v>0.983</v>
      </c>
      <c r="E18" t="n">
        <v>17.05</v>
      </c>
      <c r="F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2026-09-14T07:02:00Z</dcterms:created>
  <dcterms:modified xmlns:dcterms="http://purl.org/dc/terms/" xmlns:xsi="http://www.w3.org/2001/XMLSchema-instance" xsi:type="dcterms:W3CDTF">2026-09-14T07:02:00Z</dcterms:modified>
</cp:coreProperties>
</file>